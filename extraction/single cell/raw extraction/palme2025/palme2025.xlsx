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lein/lichen/extraction/single cell/raw extraction/palme2025/"/>
    </mc:Choice>
  </mc:AlternateContent>
  <xr:revisionPtr revIDLastSave="0" documentId="13_ncr:1_{D0A69471-C73D-5E45-B982-F1986523325E}" xr6:coauthVersionLast="47" xr6:coauthVersionMax="47" xr10:uidLastSave="{00000000-0000-0000-0000-000000000000}"/>
  <bookViews>
    <workbookView xWindow="1160" yWindow="1000" windowWidth="27640" windowHeight="16280" activeTab="1" xr2:uid="{6E31D89F-E532-5E4B-B878-7E285E5B5F1F}"/>
  </bookViews>
  <sheets>
    <sheet name="raw" sheetId="1" r:id="rId1"/>
    <sheet name="cle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D54" i="1"/>
  <c r="E53" i="1"/>
  <c r="D52" i="1"/>
  <c r="D51" i="1"/>
  <c r="E50" i="1" s="1"/>
  <c r="D49" i="1"/>
  <c r="E47" i="1" s="1"/>
  <c r="D48" i="1"/>
  <c r="D46" i="1"/>
  <c r="D45" i="1"/>
  <c r="E44" i="1" s="1"/>
  <c r="D43" i="1"/>
  <c r="E41" i="1" s="1"/>
  <c r="D41" i="1"/>
  <c r="D40" i="1"/>
  <c r="E38" i="1"/>
  <c r="D38" i="1"/>
  <c r="D37" i="1"/>
  <c r="E35" i="1"/>
  <c r="D35" i="1"/>
  <c r="D34" i="1"/>
  <c r="E32" i="1" s="1"/>
  <c r="D32" i="1"/>
  <c r="D31" i="1"/>
  <c r="E29" i="1" s="1"/>
  <c r="D29" i="1"/>
  <c r="D27" i="1"/>
  <c r="E26" i="1"/>
  <c r="D26" i="1"/>
  <c r="D24" i="1"/>
  <c r="E23" i="1" s="1"/>
  <c r="D23" i="1"/>
  <c r="D21" i="1"/>
  <c r="E20" i="1"/>
  <c r="D20" i="1"/>
  <c r="D18" i="1"/>
  <c r="E17" i="1"/>
  <c r="D17" i="1"/>
  <c r="D15" i="1"/>
  <c r="E14" i="1"/>
  <c r="D13" i="1"/>
  <c r="D12" i="1"/>
  <c r="E11" i="1"/>
  <c r="D10" i="1"/>
  <c r="D9" i="1"/>
  <c r="E8" i="1" s="1"/>
  <c r="D7" i="1"/>
  <c r="D6" i="1"/>
  <c r="E5" i="1"/>
  <c r="D4" i="1"/>
  <c r="D3" i="1"/>
  <c r="E2" i="1" s="1"/>
</calcChain>
</file>

<file path=xl/sharedStrings.xml><?xml version="1.0" encoding="utf-8"?>
<sst xmlns="http://schemas.openxmlformats.org/spreadsheetml/2006/main" count="229" uniqueCount="13">
  <si>
    <t>x</t>
  </si>
  <si>
    <t>y</t>
  </si>
  <si>
    <t>type</t>
  </si>
  <si>
    <t>raw</t>
  </si>
  <si>
    <t>error</t>
  </si>
  <si>
    <t>response</t>
  </si>
  <si>
    <t>gpp</t>
  </si>
  <si>
    <t>npp</t>
  </si>
  <si>
    <t>source</t>
  </si>
  <si>
    <t xml:space="preserve">figure 4 </t>
  </si>
  <si>
    <t>r</t>
  </si>
  <si>
    <t>figure 2</t>
  </si>
  <si>
    <t>avg_error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</si>
</sst>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4A9B1-D79B-BB45-9C87-EC0F87D3D96C}">
  <dimension ref="A1:G56"/>
  <sheetViews>
    <sheetView workbookViewId="0">
      <selection sqref="A1:XFD1048576"/>
    </sheetView>
  </sheetViews>
  <sheetFormatPr baseColWidth="10" defaultRowHeight="16" x14ac:dyDescent="0.2"/>
  <cols>
    <col min="4" max="4" width="12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12</v>
      </c>
      <c r="F1" s="1" t="s">
        <v>5</v>
      </c>
      <c r="G1" s="1" t="s">
        <v>8</v>
      </c>
    </row>
    <row r="2" spans="1:7" x14ac:dyDescent="0.2">
      <c r="A2" s="1">
        <v>15.121857500000001</v>
      </c>
      <c r="B2" s="2">
        <v>9.5000000000000004E-8</v>
      </c>
      <c r="C2" s="1" t="s">
        <v>3</v>
      </c>
      <c r="D2" s="1"/>
      <c r="E2" s="1">
        <f>AVERAGE(D3:D4)</f>
        <v>2.2949999999999997E-8</v>
      </c>
      <c r="F2" s="1" t="s">
        <v>6</v>
      </c>
      <c r="G2" s="1" t="s">
        <v>9</v>
      </c>
    </row>
    <row r="3" spans="1:7" x14ac:dyDescent="0.2">
      <c r="A3" s="1">
        <v>15.099008100000001</v>
      </c>
      <c r="B3" s="2">
        <v>1.18E-7</v>
      </c>
      <c r="C3" s="1" t="s">
        <v>4</v>
      </c>
      <c r="D3" s="1">
        <f>ABS(B2-B3)</f>
        <v>2.2999999999999994E-8</v>
      </c>
      <c r="E3" s="1"/>
      <c r="F3" s="1" t="s">
        <v>6</v>
      </c>
      <c r="G3" s="1" t="s">
        <v>9</v>
      </c>
    </row>
    <row r="4" spans="1:7" x14ac:dyDescent="0.2">
      <c r="A4" s="1">
        <v>15.0951801</v>
      </c>
      <c r="B4" s="2">
        <v>7.2100000000000004E-8</v>
      </c>
      <c r="C4" s="1" t="s">
        <v>4</v>
      </c>
      <c r="D4" s="1">
        <f>ABS(B2-B4)</f>
        <v>2.29E-8</v>
      </c>
      <c r="E4" s="1"/>
      <c r="F4" s="1" t="s">
        <v>6</v>
      </c>
      <c r="G4" s="1" t="s">
        <v>9</v>
      </c>
    </row>
    <row r="5" spans="1:7" x14ac:dyDescent="0.2">
      <c r="A5" s="1">
        <v>19.115645900000001</v>
      </c>
      <c r="B5" s="2">
        <v>1.4000000000000001E-7</v>
      </c>
      <c r="C5" s="1" t="s">
        <v>3</v>
      </c>
      <c r="D5" s="1"/>
      <c r="E5" s="1">
        <f t="shared" ref="E5" si="0">AVERAGE(D6:D7)</f>
        <v>1.6999999999999993E-8</v>
      </c>
      <c r="F5" s="1" t="s">
        <v>6</v>
      </c>
      <c r="G5" s="1" t="s">
        <v>9</v>
      </c>
    </row>
    <row r="6" spans="1:7" x14ac:dyDescent="0.2">
      <c r="A6" s="1">
        <v>19.117027100000001</v>
      </c>
      <c r="B6" s="2">
        <v>1.5699999999999999E-7</v>
      </c>
      <c r="C6" s="1" t="s">
        <v>4</v>
      </c>
      <c r="D6" s="1">
        <f>ABS(B5-B6)</f>
        <v>1.699999999999998E-8</v>
      </c>
      <c r="E6" s="1"/>
      <c r="F6" s="1" t="s">
        <v>6</v>
      </c>
      <c r="G6" s="1" t="s">
        <v>9</v>
      </c>
    </row>
    <row r="7" spans="1:7" x14ac:dyDescent="0.2">
      <c r="A7" s="1">
        <v>19.1142252</v>
      </c>
      <c r="B7" s="2">
        <v>1.23E-7</v>
      </c>
      <c r="C7" s="1" t="s">
        <v>4</v>
      </c>
      <c r="D7" s="1">
        <f t="shared" ref="D7" si="1">ABS(B5-B7)</f>
        <v>1.7000000000000007E-8</v>
      </c>
      <c r="E7" s="1"/>
      <c r="F7" s="1" t="s">
        <v>6</v>
      </c>
      <c r="G7" s="1" t="s">
        <v>9</v>
      </c>
    </row>
    <row r="8" spans="1:7" x14ac:dyDescent="0.2">
      <c r="A8" s="1">
        <v>23.105961600000001</v>
      </c>
      <c r="B8" s="2">
        <v>1.43E-7</v>
      </c>
      <c r="C8" s="1" t="s">
        <v>3</v>
      </c>
      <c r="D8" s="1"/>
      <c r="E8" s="1">
        <f t="shared" ref="E8" si="2">AVERAGE(D9:D10)</f>
        <v>3.1499999999999998E-8</v>
      </c>
      <c r="F8" s="1" t="s">
        <v>6</v>
      </c>
      <c r="G8" s="1" t="s">
        <v>9</v>
      </c>
    </row>
    <row r="9" spans="1:7" x14ac:dyDescent="0.2">
      <c r="A9" s="1">
        <v>23.108526699999999</v>
      </c>
      <c r="B9" s="2">
        <v>1.74E-7</v>
      </c>
      <c r="C9" s="1" t="s">
        <v>4</v>
      </c>
      <c r="D9" s="1">
        <f t="shared" ref="D9:D15" si="3">ABS(B8-B9)</f>
        <v>3.1E-8</v>
      </c>
      <c r="E9" s="1"/>
      <c r="F9" s="1" t="s">
        <v>6</v>
      </c>
      <c r="G9" s="1" t="s">
        <v>9</v>
      </c>
    </row>
    <row r="10" spans="1:7" x14ac:dyDescent="0.2">
      <c r="A10" s="1">
        <v>23.103356999999999</v>
      </c>
      <c r="B10" s="2">
        <v>1.11E-7</v>
      </c>
      <c r="C10" s="1" t="s">
        <v>4</v>
      </c>
      <c r="D10" s="1">
        <f t="shared" ref="D10" si="4">ABS(B8-B10)</f>
        <v>3.1999999999999995E-8</v>
      </c>
      <c r="E10" s="1"/>
      <c r="F10" s="1" t="s">
        <v>6</v>
      </c>
      <c r="G10" s="1" t="s">
        <v>9</v>
      </c>
    </row>
    <row r="11" spans="1:7" x14ac:dyDescent="0.2">
      <c r="A11" s="1">
        <v>27.117666400000001</v>
      </c>
      <c r="B11" s="2">
        <v>1.04E-7</v>
      </c>
      <c r="C11" s="1" t="s">
        <v>3</v>
      </c>
      <c r="D11" s="1"/>
      <c r="E11" s="1">
        <f t="shared" ref="E11" si="5">AVERAGE(D12:D13)</f>
        <v>4.2850000000000003E-8</v>
      </c>
      <c r="F11" s="1" t="s">
        <v>6</v>
      </c>
      <c r="G11" s="1" t="s">
        <v>9</v>
      </c>
    </row>
    <row r="12" spans="1:7" x14ac:dyDescent="0.2">
      <c r="A12" s="1">
        <v>27.121178700000002</v>
      </c>
      <c r="B12" s="2">
        <v>1.4700000000000001E-7</v>
      </c>
      <c r="C12" s="1" t="s">
        <v>4</v>
      </c>
      <c r="D12" s="1">
        <f t="shared" ref="D12:D15" si="6">ABS(B11-B12)</f>
        <v>4.3000000000000001E-8</v>
      </c>
      <c r="E12" s="1"/>
      <c r="F12" s="1" t="s">
        <v>6</v>
      </c>
      <c r="G12" s="1" t="s">
        <v>9</v>
      </c>
    </row>
    <row r="13" spans="1:7" x14ac:dyDescent="0.2">
      <c r="A13" s="1">
        <v>27.089331600000001</v>
      </c>
      <c r="B13" s="2">
        <v>6.13E-8</v>
      </c>
      <c r="C13" s="1" t="s">
        <v>4</v>
      </c>
      <c r="D13" s="1">
        <f t="shared" ref="D13" si="7">ABS(B11-B13)</f>
        <v>4.2700000000000005E-8</v>
      </c>
      <c r="E13" s="1"/>
      <c r="F13" s="1" t="s">
        <v>6</v>
      </c>
      <c r="G13" s="1" t="s">
        <v>9</v>
      </c>
    </row>
    <row r="14" spans="1:7" x14ac:dyDescent="0.2">
      <c r="A14" s="1">
        <v>31.080988999999999</v>
      </c>
      <c r="B14" s="2">
        <v>8.0299999999999998E-8</v>
      </c>
      <c r="C14" s="1" t="s">
        <v>3</v>
      </c>
      <c r="D14" s="1"/>
      <c r="E14" s="1">
        <f t="shared" ref="E14" si="8">AVERAGE(D15:D16)</f>
        <v>1.3400000000000001E-8</v>
      </c>
      <c r="F14" s="1" t="s">
        <v>6</v>
      </c>
      <c r="G14" s="1" t="s">
        <v>9</v>
      </c>
    </row>
    <row r="15" spans="1:7" x14ac:dyDescent="0.2">
      <c r="A15" s="1">
        <v>31.131660199999999</v>
      </c>
      <c r="B15" s="2">
        <v>9.3699999999999999E-8</v>
      </c>
      <c r="C15" s="1" t="s">
        <v>4</v>
      </c>
      <c r="D15" s="1">
        <f t="shared" ref="D15" si="9">ABS(B14-B15)</f>
        <v>1.3400000000000001E-8</v>
      </c>
      <c r="E15" s="1"/>
      <c r="F15" s="1" t="s">
        <v>6</v>
      </c>
      <c r="G15" s="1" t="s">
        <v>9</v>
      </c>
    </row>
    <row r="16" spans="1:7" x14ac:dyDescent="0.2">
      <c r="A16" s="1">
        <v>31.104667200000002</v>
      </c>
      <c r="B16" s="2">
        <v>6.6899999999999997E-8</v>
      </c>
      <c r="C16" s="1" t="s">
        <v>4</v>
      </c>
      <c r="D16" s="1"/>
      <c r="E16" s="1"/>
      <c r="F16" s="1" t="s">
        <v>6</v>
      </c>
      <c r="G16" s="1" t="s">
        <v>9</v>
      </c>
    </row>
    <row r="17" spans="1:7" x14ac:dyDescent="0.2">
      <c r="A17" s="1">
        <v>35.110689299999997</v>
      </c>
      <c r="B17" s="2">
        <v>-4.0200000000000003E-8</v>
      </c>
      <c r="C17" s="1" t="s">
        <v>3</v>
      </c>
      <c r="D17" s="1">
        <f t="shared" ref="D17:D56" si="10">ABS(B16-B17)</f>
        <v>1.071E-7</v>
      </c>
      <c r="E17" s="1">
        <f t="shared" ref="E17" si="11">AVERAGE(D18:D19)</f>
        <v>1.004E-7</v>
      </c>
      <c r="F17" s="1" t="s">
        <v>6</v>
      </c>
      <c r="G17" s="1" t="s">
        <v>9</v>
      </c>
    </row>
    <row r="18" spans="1:7" x14ac:dyDescent="0.2">
      <c r="A18" s="1">
        <v>35.111241800000002</v>
      </c>
      <c r="B18" s="2">
        <v>-3.3500000000000002E-8</v>
      </c>
      <c r="C18" s="1" t="s">
        <v>4</v>
      </c>
      <c r="D18" s="1">
        <f t="shared" ref="D18" si="12">ABS(B16-B18)</f>
        <v>1.004E-7</v>
      </c>
      <c r="E18" s="1"/>
      <c r="F18" s="1" t="s">
        <v>6</v>
      </c>
      <c r="G18" s="1" t="s">
        <v>9</v>
      </c>
    </row>
    <row r="19" spans="1:7" x14ac:dyDescent="0.2">
      <c r="A19" s="1">
        <v>35.110136799999999</v>
      </c>
      <c r="B19" s="2">
        <v>-4.6900000000000003E-8</v>
      </c>
      <c r="C19" s="1" t="s">
        <v>4</v>
      </c>
      <c r="D19" s="1"/>
      <c r="E19" s="1"/>
      <c r="F19" s="1" t="s">
        <v>6</v>
      </c>
      <c r="G19" s="1" t="s">
        <v>9</v>
      </c>
    </row>
    <row r="20" spans="1:7" x14ac:dyDescent="0.2">
      <c r="A20" s="1">
        <v>16.907345500000002</v>
      </c>
      <c r="B20" s="2">
        <v>1.08E-7</v>
      </c>
      <c r="C20" s="1" t="s">
        <v>3</v>
      </c>
      <c r="D20" s="1">
        <f t="shared" ref="D20:D56" si="13">ABS(B19-B20)</f>
        <v>1.5489999999999999E-7</v>
      </c>
      <c r="E20" s="1">
        <f t="shared" ref="E20" si="14">AVERAGE(D21:D22)</f>
        <v>1.8489999999999999E-7</v>
      </c>
      <c r="F20" s="1" t="s">
        <v>7</v>
      </c>
      <c r="G20" s="1" t="s">
        <v>9</v>
      </c>
    </row>
    <row r="21" spans="1:7" x14ac:dyDescent="0.2">
      <c r="A21" s="1">
        <v>16.9097528</v>
      </c>
      <c r="B21" s="2">
        <v>1.3799999999999999E-7</v>
      </c>
      <c r="C21" s="1" t="s">
        <v>4</v>
      </c>
      <c r="D21" s="1">
        <f t="shared" ref="D21:D49" si="15">ABS(B19-B21)</f>
        <v>1.8489999999999999E-7</v>
      </c>
      <c r="E21" s="1"/>
      <c r="F21" s="1" t="s">
        <v>7</v>
      </c>
      <c r="G21" s="1" t="s">
        <v>9</v>
      </c>
    </row>
    <row r="22" spans="1:7" x14ac:dyDescent="0.2">
      <c r="A22" s="1">
        <v>16.904938300000001</v>
      </c>
      <c r="B22" s="2">
        <v>7.9199999999999995E-8</v>
      </c>
      <c r="C22" s="1" t="s">
        <v>4</v>
      </c>
      <c r="D22" s="1"/>
      <c r="E22" s="1"/>
      <c r="F22" s="1" t="s">
        <v>7</v>
      </c>
      <c r="G22" s="1" t="s">
        <v>9</v>
      </c>
    </row>
    <row r="23" spans="1:7" x14ac:dyDescent="0.2">
      <c r="A23" s="1">
        <v>20.902239000000002</v>
      </c>
      <c r="B23" s="2">
        <v>1.67E-7</v>
      </c>
      <c r="C23" s="1" t="s">
        <v>3</v>
      </c>
      <c r="D23" s="1">
        <f t="shared" ref="D23:D56" si="16">ABS(B22-B23)</f>
        <v>8.7800000000000005E-8</v>
      </c>
      <c r="E23" s="1">
        <f t="shared" ref="E23" si="17">AVERAGE(D24:D25)</f>
        <v>1.0580000000000001E-7</v>
      </c>
      <c r="F23" s="1" t="s">
        <v>7</v>
      </c>
      <c r="G23" s="1" t="s">
        <v>9</v>
      </c>
    </row>
    <row r="24" spans="1:7" x14ac:dyDescent="0.2">
      <c r="A24" s="1">
        <v>20.903777999999999</v>
      </c>
      <c r="B24" s="2">
        <v>1.85E-7</v>
      </c>
      <c r="C24" s="1" t="s">
        <v>4</v>
      </c>
      <c r="D24" s="1">
        <f t="shared" ref="D24:D52" si="18">ABS(B22-B24)</f>
        <v>1.0580000000000001E-7</v>
      </c>
      <c r="E24" s="1"/>
      <c r="F24" s="1" t="s">
        <v>7</v>
      </c>
      <c r="G24" s="1" t="s">
        <v>9</v>
      </c>
    </row>
    <row r="25" spans="1:7" x14ac:dyDescent="0.2">
      <c r="A25" s="1">
        <v>20.900739300000001</v>
      </c>
      <c r="B25" s="2">
        <v>1.48E-7</v>
      </c>
      <c r="C25" s="1" t="s">
        <v>4</v>
      </c>
      <c r="D25" s="1"/>
      <c r="E25" s="1"/>
      <c r="F25" s="1" t="s">
        <v>7</v>
      </c>
      <c r="G25" s="1" t="s">
        <v>9</v>
      </c>
    </row>
    <row r="26" spans="1:7" x14ac:dyDescent="0.2">
      <c r="A26" s="1">
        <v>24.917337700000001</v>
      </c>
      <c r="B26" s="2">
        <v>1.6899999999999999E-7</v>
      </c>
      <c r="C26" s="1" t="s">
        <v>3</v>
      </c>
      <c r="D26" s="1">
        <f t="shared" ref="D26:D56" si="19">ABS(B25-B26)</f>
        <v>2.099999999999999E-8</v>
      </c>
      <c r="E26" s="1">
        <f t="shared" ref="E26" si="20">AVERAGE(D27:D28)</f>
        <v>5.4000000000000007E-8</v>
      </c>
      <c r="F26" s="1" t="s">
        <v>7</v>
      </c>
      <c r="G26" s="1" t="s">
        <v>9</v>
      </c>
    </row>
    <row r="27" spans="1:7" x14ac:dyDescent="0.2">
      <c r="A27" s="1">
        <v>24.920021200000001</v>
      </c>
      <c r="B27" s="2">
        <v>2.0200000000000001E-7</v>
      </c>
      <c r="C27" s="1" t="s">
        <v>4</v>
      </c>
      <c r="D27" s="1">
        <f t="shared" ref="D27:D55" si="21">ABS(B25-B27)</f>
        <v>5.4000000000000007E-8</v>
      </c>
      <c r="E27" s="1"/>
      <c r="F27" s="1" t="s">
        <v>7</v>
      </c>
      <c r="G27" s="1" t="s">
        <v>9</v>
      </c>
    </row>
    <row r="28" spans="1:7" x14ac:dyDescent="0.2">
      <c r="A28" s="1">
        <v>24.914693700000001</v>
      </c>
      <c r="B28" s="2">
        <v>1.37E-7</v>
      </c>
      <c r="C28" s="1" t="s">
        <v>4</v>
      </c>
      <c r="D28" s="1"/>
      <c r="E28" s="1"/>
      <c r="F28" s="1" t="s">
        <v>7</v>
      </c>
      <c r="G28" s="1" t="s">
        <v>9</v>
      </c>
    </row>
    <row r="29" spans="1:7" x14ac:dyDescent="0.2">
      <c r="A29" s="1">
        <v>28.930779000000001</v>
      </c>
      <c r="B29" s="2">
        <v>1.5200000000000001E-7</v>
      </c>
      <c r="C29" s="1" t="s">
        <v>3</v>
      </c>
      <c r="D29" s="1">
        <f t="shared" ref="D29:D56" si="22">ABS(B28-B29)</f>
        <v>1.5000000000000015E-8</v>
      </c>
      <c r="E29" s="1">
        <f t="shared" ref="E29" si="23">AVERAGE(D30:D31)</f>
        <v>1.03E-7</v>
      </c>
      <c r="F29" s="1" t="s">
        <v>7</v>
      </c>
      <c r="G29" s="1" t="s">
        <v>9</v>
      </c>
    </row>
    <row r="30" spans="1:7" x14ac:dyDescent="0.2">
      <c r="A30" s="1">
        <v>28.935041099999999</v>
      </c>
      <c r="B30" s="2">
        <v>2.04E-7</v>
      </c>
      <c r="C30" s="1" t="s">
        <v>4</v>
      </c>
      <c r="D30" s="1"/>
      <c r="E30" s="1"/>
      <c r="F30" s="1" t="s">
        <v>7</v>
      </c>
      <c r="G30" s="1" t="s">
        <v>9</v>
      </c>
    </row>
    <row r="31" spans="1:7" x14ac:dyDescent="0.2">
      <c r="A31" s="1">
        <v>28.926595899999999</v>
      </c>
      <c r="B31" s="2">
        <v>1.01E-7</v>
      </c>
      <c r="C31" s="1" t="s">
        <v>4</v>
      </c>
      <c r="D31" s="1">
        <f t="shared" ref="D31:D56" si="24">ABS(B30-B31)</f>
        <v>1.03E-7</v>
      </c>
      <c r="E31" s="1"/>
      <c r="F31" s="1" t="s">
        <v>7</v>
      </c>
      <c r="G31" s="1" t="s">
        <v>9</v>
      </c>
    </row>
    <row r="32" spans="1:7" x14ac:dyDescent="0.2">
      <c r="A32" s="1">
        <v>32.919003099999998</v>
      </c>
      <c r="B32" s="2">
        <v>1.29E-7</v>
      </c>
      <c r="C32" s="1" t="s">
        <v>3</v>
      </c>
      <c r="D32" s="1">
        <f t="shared" ref="D32" si="25">ABS(B30-B32)</f>
        <v>7.4999999999999997E-8</v>
      </c>
      <c r="E32" s="1">
        <f t="shared" ref="E32" si="26">AVERAGE(D33:D34)</f>
        <v>1.8000000000000002E-8</v>
      </c>
      <c r="F32" s="1" t="s">
        <v>7</v>
      </c>
      <c r="G32" s="1" t="s">
        <v>9</v>
      </c>
    </row>
    <row r="33" spans="1:7" x14ac:dyDescent="0.2">
      <c r="A33" s="1">
        <v>32.919713399999999</v>
      </c>
      <c r="B33" s="2">
        <v>1.3799999999999999E-7</v>
      </c>
      <c r="C33" s="1" t="s">
        <v>4</v>
      </c>
      <c r="D33" s="1"/>
      <c r="E33" s="1"/>
      <c r="F33" s="1" t="s">
        <v>7</v>
      </c>
      <c r="G33" s="1" t="s">
        <v>9</v>
      </c>
    </row>
    <row r="34" spans="1:7" x14ac:dyDescent="0.2">
      <c r="A34" s="1">
        <v>32.918253300000003</v>
      </c>
      <c r="B34" s="2">
        <v>1.1999999999999999E-7</v>
      </c>
      <c r="C34" s="1" t="s">
        <v>4</v>
      </c>
      <c r="D34" s="1">
        <f t="shared" si="13"/>
        <v>1.8000000000000002E-8</v>
      </c>
      <c r="E34" s="1"/>
      <c r="F34" s="1" t="s">
        <v>7</v>
      </c>
      <c r="G34" s="1" t="s">
        <v>9</v>
      </c>
    </row>
    <row r="35" spans="1:7" x14ac:dyDescent="0.2">
      <c r="A35" s="1">
        <v>36.898742499999997</v>
      </c>
      <c r="B35" s="2">
        <v>4.2199999999999999E-9</v>
      </c>
      <c r="C35" s="1" t="s">
        <v>3</v>
      </c>
      <c r="D35" s="1">
        <f t="shared" si="15"/>
        <v>1.3378E-7</v>
      </c>
      <c r="E35" s="1">
        <f t="shared" ref="E35" si="27">AVERAGE(D36:D37)</f>
        <v>1.5800000000000003E-8</v>
      </c>
      <c r="F35" s="1" t="s">
        <v>7</v>
      </c>
      <c r="G35" s="1" t="s">
        <v>9</v>
      </c>
    </row>
    <row r="36" spans="1:7" x14ac:dyDescent="0.2">
      <c r="A36" s="1">
        <v>36.899373900000001</v>
      </c>
      <c r="B36" s="2">
        <v>1.1900000000000001E-8</v>
      </c>
      <c r="C36" s="1" t="s">
        <v>4</v>
      </c>
      <c r="D36" s="1"/>
      <c r="E36" s="1"/>
      <c r="F36" s="1" t="s">
        <v>7</v>
      </c>
      <c r="G36" s="1" t="s">
        <v>9</v>
      </c>
    </row>
    <row r="37" spans="1:7" x14ac:dyDescent="0.2">
      <c r="A37" s="1">
        <v>36.898071600000002</v>
      </c>
      <c r="B37" s="2">
        <v>-3.9000000000000002E-9</v>
      </c>
      <c r="C37" s="1" t="s">
        <v>4</v>
      </c>
      <c r="D37" s="1">
        <f t="shared" si="16"/>
        <v>1.5800000000000003E-8</v>
      </c>
      <c r="E37" s="1"/>
      <c r="F37" s="1" t="s">
        <v>7</v>
      </c>
      <c r="G37" s="1" t="s">
        <v>9</v>
      </c>
    </row>
    <row r="38" spans="1:7" x14ac:dyDescent="0.2">
      <c r="A38" s="1">
        <v>14.826405899999999</v>
      </c>
      <c r="B38" s="2">
        <v>1.6499999999999999E-8</v>
      </c>
      <c r="C38" s="1" t="s">
        <v>3</v>
      </c>
      <c r="D38" s="1">
        <f t="shared" si="18"/>
        <v>4.5999999999999982E-9</v>
      </c>
      <c r="E38" s="1">
        <f t="shared" ref="E38" si="28">AVERAGE(D39:D40)</f>
        <v>3.2899999999999997E-8</v>
      </c>
      <c r="F38" s="1" t="s">
        <v>10</v>
      </c>
      <c r="G38" s="1" t="s">
        <v>11</v>
      </c>
    </row>
    <row r="39" spans="1:7" x14ac:dyDescent="0.2">
      <c r="A39" s="1">
        <v>14.826405899999999</v>
      </c>
      <c r="B39" s="2">
        <v>3.2899999999999997E-8</v>
      </c>
      <c r="C39" s="1" t="s">
        <v>4</v>
      </c>
      <c r="D39" s="1"/>
      <c r="E39" s="1"/>
      <c r="F39" s="1" t="s">
        <v>10</v>
      </c>
      <c r="G39" s="1" t="s">
        <v>11</v>
      </c>
    </row>
    <row r="40" spans="1:7" x14ac:dyDescent="0.2">
      <c r="A40" s="1">
        <v>14.826405899999999</v>
      </c>
      <c r="B40" s="1">
        <v>0</v>
      </c>
      <c r="C40" s="1" t="s">
        <v>4</v>
      </c>
      <c r="D40" s="1">
        <f t="shared" si="19"/>
        <v>3.2899999999999997E-8</v>
      </c>
      <c r="E40" s="1"/>
      <c r="F40" s="1" t="s">
        <v>10</v>
      </c>
      <c r="G40" s="1" t="s">
        <v>11</v>
      </c>
    </row>
    <row r="41" spans="1:7" x14ac:dyDescent="0.2">
      <c r="A41" s="1">
        <v>18.787286099999999</v>
      </c>
      <c r="B41" s="2">
        <v>2.6700000000000001E-8</v>
      </c>
      <c r="C41" s="1" t="s">
        <v>3</v>
      </c>
      <c r="D41" s="1">
        <f t="shared" si="21"/>
        <v>6.199999999999996E-9</v>
      </c>
      <c r="E41" s="1">
        <f t="shared" ref="E41" si="29">AVERAGE(D42:D43)</f>
        <v>1.3299999999999997E-8</v>
      </c>
      <c r="F41" s="1" t="s">
        <v>10</v>
      </c>
      <c r="G41" s="1" t="s">
        <v>11</v>
      </c>
    </row>
    <row r="42" spans="1:7" x14ac:dyDescent="0.2">
      <c r="A42" s="1">
        <v>18.787286099999999</v>
      </c>
      <c r="B42" s="2">
        <v>3.2899999999999997E-8</v>
      </c>
      <c r="C42" s="1" t="s">
        <v>4</v>
      </c>
      <c r="D42" s="1"/>
      <c r="E42" s="1"/>
      <c r="F42" s="1" t="s">
        <v>10</v>
      </c>
      <c r="G42" s="1" t="s">
        <v>11</v>
      </c>
    </row>
    <row r="43" spans="1:7" x14ac:dyDescent="0.2">
      <c r="A43" s="1">
        <v>18.787286099999999</v>
      </c>
      <c r="B43" s="2">
        <v>1.96E-8</v>
      </c>
      <c r="C43" s="1" t="s">
        <v>4</v>
      </c>
      <c r="D43" s="1">
        <f t="shared" si="22"/>
        <v>1.3299999999999997E-8</v>
      </c>
      <c r="E43" s="1"/>
      <c r="F43" s="1" t="s">
        <v>10</v>
      </c>
      <c r="G43" s="1" t="s">
        <v>11</v>
      </c>
    </row>
    <row r="44" spans="1:7" x14ac:dyDescent="0.2">
      <c r="A44" s="1">
        <v>22.797066000000001</v>
      </c>
      <c r="B44" s="2">
        <v>1.88E-8</v>
      </c>
      <c r="C44" s="1" t="s">
        <v>3</v>
      </c>
      <c r="D44" s="1"/>
      <c r="E44" s="1">
        <f t="shared" ref="E44" si="30">AVERAGE(D45:D46)</f>
        <v>6.8500000000000001E-9</v>
      </c>
      <c r="F44" s="1" t="s">
        <v>10</v>
      </c>
      <c r="G44" s="1" t="s">
        <v>11</v>
      </c>
    </row>
    <row r="45" spans="1:7" x14ac:dyDescent="0.2">
      <c r="A45" s="1">
        <v>22.797066000000001</v>
      </c>
      <c r="B45" s="2">
        <v>2.59E-8</v>
      </c>
      <c r="C45" s="1" t="s">
        <v>4</v>
      </c>
      <c r="D45" s="1">
        <f t="shared" ref="D45:D56" si="31">ABS(B44-B45)</f>
        <v>7.1000000000000007E-9</v>
      </c>
      <c r="E45" s="1"/>
      <c r="F45" s="1" t="s">
        <v>10</v>
      </c>
      <c r="G45" s="1" t="s">
        <v>11</v>
      </c>
    </row>
    <row r="46" spans="1:7" x14ac:dyDescent="0.2">
      <c r="A46" s="1">
        <v>22.797066000000001</v>
      </c>
      <c r="B46" s="2">
        <v>1.22E-8</v>
      </c>
      <c r="C46" s="1" t="s">
        <v>4</v>
      </c>
      <c r="D46" s="1">
        <f t="shared" ref="D46" si="32">ABS(B44-B46)</f>
        <v>6.5999999999999995E-9</v>
      </c>
      <c r="E46" s="1"/>
      <c r="F46" s="1" t="s">
        <v>10</v>
      </c>
      <c r="G46" s="1" t="s">
        <v>11</v>
      </c>
    </row>
    <row r="47" spans="1:7" x14ac:dyDescent="0.2">
      <c r="A47" s="1">
        <v>26.806846</v>
      </c>
      <c r="B47" s="2">
        <v>4.6700000000000001E-8</v>
      </c>
      <c r="C47" s="1" t="s">
        <v>3</v>
      </c>
      <c r="D47" s="1"/>
      <c r="E47" s="1">
        <f t="shared" ref="E47" si="33">AVERAGE(D48:D49)</f>
        <v>1.9499999999999976E-9</v>
      </c>
      <c r="F47" s="1" t="s">
        <v>10</v>
      </c>
      <c r="G47" s="1" t="s">
        <v>11</v>
      </c>
    </row>
    <row r="48" spans="1:7" x14ac:dyDescent="0.2">
      <c r="A48" s="1">
        <v>26.806846</v>
      </c>
      <c r="B48" s="2">
        <v>4.8599999999999998E-8</v>
      </c>
      <c r="C48" s="1" t="s">
        <v>4</v>
      </c>
      <c r="D48" s="1">
        <f t="shared" si="13"/>
        <v>1.8999999999999972E-9</v>
      </c>
      <c r="E48" s="1"/>
      <c r="F48" s="1" t="s">
        <v>10</v>
      </c>
      <c r="G48" s="1" t="s">
        <v>11</v>
      </c>
    </row>
    <row r="49" spans="1:7" x14ac:dyDescent="0.2">
      <c r="A49" s="1">
        <v>26.806846</v>
      </c>
      <c r="B49" s="2">
        <v>4.4700000000000003E-8</v>
      </c>
      <c r="C49" s="1" t="s">
        <v>4</v>
      </c>
      <c r="D49" s="1">
        <f t="shared" si="15"/>
        <v>1.9999999999999981E-9</v>
      </c>
      <c r="E49" s="1"/>
      <c r="F49" s="1" t="s">
        <v>10</v>
      </c>
      <c r="G49" s="1" t="s">
        <v>11</v>
      </c>
    </row>
    <row r="50" spans="1:7" x14ac:dyDescent="0.2">
      <c r="A50" s="1">
        <v>30.816625899999998</v>
      </c>
      <c r="B50" s="2">
        <v>4.0000000000000001E-8</v>
      </c>
      <c r="C50" s="1" t="s">
        <v>3</v>
      </c>
      <c r="D50" s="1"/>
      <c r="E50" s="1">
        <f t="shared" ref="E50" si="34">AVERAGE(D51:D52)</f>
        <v>7.4000000000000001E-9</v>
      </c>
      <c r="F50" s="1" t="s">
        <v>10</v>
      </c>
      <c r="G50" s="1" t="s">
        <v>11</v>
      </c>
    </row>
    <row r="51" spans="1:7" x14ac:dyDescent="0.2">
      <c r="A51" s="1">
        <v>30.792176000000001</v>
      </c>
      <c r="B51" s="2">
        <v>4.73E-8</v>
      </c>
      <c r="C51" s="1" t="s">
        <v>4</v>
      </c>
      <c r="D51" s="1">
        <f t="shared" si="16"/>
        <v>7.2999999999999992E-9</v>
      </c>
      <c r="E51" s="1"/>
      <c r="F51" s="1" t="s">
        <v>10</v>
      </c>
      <c r="G51" s="1" t="s">
        <v>11</v>
      </c>
    </row>
    <row r="52" spans="1:7" x14ac:dyDescent="0.2">
      <c r="A52" s="1">
        <v>30.792176000000001</v>
      </c>
      <c r="B52" s="2">
        <v>3.25E-8</v>
      </c>
      <c r="C52" s="1" t="s">
        <v>4</v>
      </c>
      <c r="D52" s="1">
        <f t="shared" si="18"/>
        <v>7.500000000000001E-9</v>
      </c>
      <c r="E52" s="1"/>
      <c r="F52" s="1" t="s">
        <v>10</v>
      </c>
      <c r="G52" s="1" t="s">
        <v>11</v>
      </c>
    </row>
    <row r="53" spans="1:7" x14ac:dyDescent="0.2">
      <c r="A53" s="1">
        <v>34.753056200000003</v>
      </c>
      <c r="B53" s="2">
        <v>3.7100000000000001E-8</v>
      </c>
      <c r="C53" s="1" t="s">
        <v>3</v>
      </c>
      <c r="D53" s="1"/>
      <c r="E53" s="1">
        <f t="shared" ref="E53" si="35">AVERAGE(D54:D55)</f>
        <v>6.8500000000000018E-9</v>
      </c>
      <c r="F53" s="1" t="s">
        <v>10</v>
      </c>
      <c r="G53" s="1" t="s">
        <v>11</v>
      </c>
    </row>
    <row r="54" spans="1:7" x14ac:dyDescent="0.2">
      <c r="A54" s="1">
        <v>34.753056200000003</v>
      </c>
      <c r="B54" s="2">
        <v>4.3900000000000003E-8</v>
      </c>
      <c r="C54" s="1" t="s">
        <v>4</v>
      </c>
      <c r="D54" s="1">
        <f t="shared" si="19"/>
        <v>6.8000000000000013E-9</v>
      </c>
      <c r="E54" s="1"/>
      <c r="F54" s="1" t="s">
        <v>10</v>
      </c>
      <c r="G54" s="1" t="s">
        <v>11</v>
      </c>
    </row>
    <row r="55" spans="1:7" x14ac:dyDescent="0.2">
      <c r="A55" s="1">
        <v>34.777506099999997</v>
      </c>
      <c r="B55" s="2">
        <v>3.0199999999999999E-8</v>
      </c>
      <c r="C55" s="1" t="s">
        <v>4</v>
      </c>
      <c r="D55" s="1">
        <f t="shared" si="21"/>
        <v>6.9000000000000022E-9</v>
      </c>
      <c r="E55" s="1"/>
      <c r="F55" s="1" t="s">
        <v>10</v>
      </c>
      <c r="G55" s="1" t="s">
        <v>11</v>
      </c>
    </row>
    <row r="56" spans="1:7" x14ac:dyDescent="0.2">
      <c r="D5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24EA-933F-1C48-B0D4-C6EA195C6C7F}">
  <dimension ref="A1:F19"/>
  <sheetViews>
    <sheetView tabSelected="1" workbookViewId="0">
      <selection activeCell="E2" sqref="E2:E19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12</v>
      </c>
      <c r="E1" s="1" t="s">
        <v>5</v>
      </c>
      <c r="F1" s="1" t="s">
        <v>8</v>
      </c>
    </row>
    <row r="2" spans="1:6" x14ac:dyDescent="0.2">
      <c r="A2" s="3">
        <v>15.121857500000001</v>
      </c>
      <c r="B2" s="2">
        <v>9.5000000000000004E-8</v>
      </c>
      <c r="C2" s="1" t="s">
        <v>3</v>
      </c>
      <c r="D2" s="1">
        <v>2.2949999999999997E-8</v>
      </c>
      <c r="E2" s="1" t="s">
        <v>6</v>
      </c>
      <c r="F2" s="1" t="s">
        <v>9</v>
      </c>
    </row>
    <row r="3" spans="1:6" x14ac:dyDescent="0.2">
      <c r="A3" s="3">
        <v>19.115645900000001</v>
      </c>
      <c r="B3" s="2">
        <v>1.4000000000000001E-7</v>
      </c>
      <c r="C3" s="1" t="s">
        <v>3</v>
      </c>
      <c r="D3" s="1">
        <v>1.6999999999999993E-8</v>
      </c>
      <c r="E3" s="1" t="s">
        <v>6</v>
      </c>
      <c r="F3" s="1" t="s">
        <v>9</v>
      </c>
    </row>
    <row r="4" spans="1:6" x14ac:dyDescent="0.2">
      <c r="A4" s="3">
        <v>23.105961600000001</v>
      </c>
      <c r="B4" s="2">
        <v>1.43E-7</v>
      </c>
      <c r="C4" s="1" t="s">
        <v>3</v>
      </c>
      <c r="D4" s="1">
        <v>3.1499999999999998E-8</v>
      </c>
      <c r="E4" s="1" t="s">
        <v>6</v>
      </c>
      <c r="F4" s="1" t="s">
        <v>9</v>
      </c>
    </row>
    <row r="5" spans="1:6" x14ac:dyDescent="0.2">
      <c r="A5" s="3">
        <v>27.117666400000001</v>
      </c>
      <c r="B5" s="2">
        <v>1.04E-7</v>
      </c>
      <c r="C5" s="1" t="s">
        <v>3</v>
      </c>
      <c r="D5" s="1">
        <v>4.2850000000000003E-8</v>
      </c>
      <c r="E5" s="1" t="s">
        <v>6</v>
      </c>
      <c r="F5" s="1" t="s">
        <v>9</v>
      </c>
    </row>
    <row r="6" spans="1:6" x14ac:dyDescent="0.2">
      <c r="A6" s="3">
        <v>31.080988999999999</v>
      </c>
      <c r="B6" s="2">
        <v>8.0299999999999998E-8</v>
      </c>
      <c r="C6" s="1" t="s">
        <v>3</v>
      </c>
      <c r="D6" s="1">
        <v>1.3400000000000001E-8</v>
      </c>
      <c r="E6" s="1" t="s">
        <v>6</v>
      </c>
      <c r="F6" s="1" t="s">
        <v>9</v>
      </c>
    </row>
    <row r="7" spans="1:6" x14ac:dyDescent="0.2">
      <c r="A7" s="3">
        <v>35.110689299999997</v>
      </c>
      <c r="B7" s="2">
        <v>-4.0200000000000003E-8</v>
      </c>
      <c r="C7" s="1" t="s">
        <v>3</v>
      </c>
      <c r="D7" s="1">
        <v>1.004E-7</v>
      </c>
      <c r="E7" s="1" t="s">
        <v>6</v>
      </c>
      <c r="F7" s="1" t="s">
        <v>9</v>
      </c>
    </row>
    <row r="8" spans="1:6" x14ac:dyDescent="0.2">
      <c r="A8" s="3">
        <v>16.907345500000002</v>
      </c>
      <c r="B8" s="2">
        <v>1.08E-7</v>
      </c>
      <c r="C8" s="1" t="s">
        <v>3</v>
      </c>
      <c r="D8" s="1">
        <v>1.8489999999999999E-7</v>
      </c>
      <c r="E8" s="1" t="s">
        <v>7</v>
      </c>
      <c r="F8" s="1" t="s">
        <v>9</v>
      </c>
    </row>
    <row r="9" spans="1:6" x14ac:dyDescent="0.2">
      <c r="A9" s="3">
        <v>20.902239000000002</v>
      </c>
      <c r="B9" s="2">
        <v>1.67E-7</v>
      </c>
      <c r="C9" s="1" t="s">
        <v>3</v>
      </c>
      <c r="D9" s="1">
        <v>1.0580000000000001E-7</v>
      </c>
      <c r="E9" s="1" t="s">
        <v>7</v>
      </c>
      <c r="F9" s="1" t="s">
        <v>9</v>
      </c>
    </row>
    <row r="10" spans="1:6" x14ac:dyDescent="0.2">
      <c r="A10" s="3">
        <v>24.917337700000001</v>
      </c>
      <c r="B10" s="2">
        <v>1.6899999999999999E-7</v>
      </c>
      <c r="C10" s="1" t="s">
        <v>3</v>
      </c>
      <c r="D10" s="1">
        <v>5.4000000000000007E-8</v>
      </c>
      <c r="E10" s="1" t="s">
        <v>7</v>
      </c>
      <c r="F10" s="1" t="s">
        <v>9</v>
      </c>
    </row>
    <row r="11" spans="1:6" x14ac:dyDescent="0.2">
      <c r="A11" s="3">
        <v>28.930779000000001</v>
      </c>
      <c r="B11" s="2">
        <v>1.5200000000000001E-7</v>
      </c>
      <c r="C11" s="1" t="s">
        <v>3</v>
      </c>
      <c r="D11" s="1">
        <v>1.03E-7</v>
      </c>
      <c r="E11" s="1" t="s">
        <v>7</v>
      </c>
      <c r="F11" s="1" t="s">
        <v>9</v>
      </c>
    </row>
    <row r="12" spans="1:6" x14ac:dyDescent="0.2">
      <c r="A12" s="3">
        <v>32.919003099999998</v>
      </c>
      <c r="B12" s="2">
        <v>1.29E-7</v>
      </c>
      <c r="C12" s="1" t="s">
        <v>3</v>
      </c>
      <c r="D12" s="1">
        <v>1.8000000000000002E-8</v>
      </c>
      <c r="E12" s="1" t="s">
        <v>7</v>
      </c>
      <c r="F12" s="1" t="s">
        <v>9</v>
      </c>
    </row>
    <row r="13" spans="1:6" x14ac:dyDescent="0.2">
      <c r="A13" s="3">
        <v>36.898742499999997</v>
      </c>
      <c r="B13" s="2">
        <v>4.2199999999999999E-9</v>
      </c>
      <c r="C13" s="1" t="s">
        <v>3</v>
      </c>
      <c r="D13" s="1">
        <v>1.5800000000000003E-8</v>
      </c>
      <c r="E13" s="1" t="s">
        <v>7</v>
      </c>
      <c r="F13" s="1" t="s">
        <v>9</v>
      </c>
    </row>
    <row r="14" spans="1:6" x14ac:dyDescent="0.2">
      <c r="A14" s="3">
        <v>14.826405899999999</v>
      </c>
      <c r="B14" s="2">
        <v>1.6499999999999999E-8</v>
      </c>
      <c r="C14" s="1" t="s">
        <v>3</v>
      </c>
      <c r="D14" s="1">
        <v>3.2899999999999997E-8</v>
      </c>
      <c r="E14" s="1" t="s">
        <v>10</v>
      </c>
      <c r="F14" s="1" t="s">
        <v>11</v>
      </c>
    </row>
    <row r="15" spans="1:6" x14ac:dyDescent="0.2">
      <c r="A15" s="3">
        <v>18.787286099999999</v>
      </c>
      <c r="B15" s="2">
        <v>2.6700000000000001E-8</v>
      </c>
      <c r="C15" s="1" t="s">
        <v>3</v>
      </c>
      <c r="D15" s="1">
        <v>1.3299999999999997E-8</v>
      </c>
      <c r="E15" s="1" t="s">
        <v>10</v>
      </c>
      <c r="F15" s="1" t="s">
        <v>11</v>
      </c>
    </row>
    <row r="16" spans="1:6" x14ac:dyDescent="0.2">
      <c r="A16" s="3">
        <v>22.797066000000001</v>
      </c>
      <c r="B16" s="2">
        <v>1.88E-8</v>
      </c>
      <c r="C16" s="1" t="s">
        <v>3</v>
      </c>
      <c r="D16" s="1">
        <v>6.8500000000000001E-9</v>
      </c>
      <c r="E16" s="1" t="s">
        <v>10</v>
      </c>
      <c r="F16" s="1" t="s">
        <v>11</v>
      </c>
    </row>
    <row r="17" spans="1:6" x14ac:dyDescent="0.2">
      <c r="A17" s="3">
        <v>26.806846</v>
      </c>
      <c r="B17" s="2">
        <v>4.6700000000000001E-8</v>
      </c>
      <c r="C17" s="1" t="s">
        <v>3</v>
      </c>
      <c r="D17" s="1">
        <v>1.9499999999999976E-9</v>
      </c>
      <c r="E17" s="1" t="s">
        <v>10</v>
      </c>
      <c r="F17" s="1" t="s">
        <v>11</v>
      </c>
    </row>
    <row r="18" spans="1:6" x14ac:dyDescent="0.2">
      <c r="A18" s="3">
        <v>30.816625899999998</v>
      </c>
      <c r="B18" s="2">
        <v>4.0000000000000001E-8</v>
      </c>
      <c r="C18" s="1" t="s">
        <v>3</v>
      </c>
      <c r="D18" s="1">
        <v>7.4000000000000001E-9</v>
      </c>
      <c r="E18" s="1" t="s">
        <v>10</v>
      </c>
      <c r="F18" s="1" t="s">
        <v>11</v>
      </c>
    </row>
    <row r="19" spans="1:6" x14ac:dyDescent="0.2">
      <c r="A19" s="3">
        <v>34.753056200000003</v>
      </c>
      <c r="B19" s="2">
        <v>3.7100000000000001E-8</v>
      </c>
      <c r="C19" s="1" t="s">
        <v>3</v>
      </c>
      <c r="D19" s="1">
        <v>6.8500000000000018E-9</v>
      </c>
      <c r="E19" s="1" t="s">
        <v>10</v>
      </c>
      <c r="F19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Slein, Margaret</dc:creator>
  <cp:lastModifiedBy>Slein, Margaret</cp:lastModifiedBy>
  <dcterms:created xsi:type="dcterms:W3CDTF">2026-02-26T21:45:42Z</dcterms:created>
  <dcterms:modified xsi:type="dcterms:W3CDTF">2026-02-26T23:54:12Z</dcterms:modified>
</cp:coreProperties>
</file>