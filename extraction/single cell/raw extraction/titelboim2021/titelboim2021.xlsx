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etslein/lichen/extraction/single cell/raw extraction/titelboim2021/"/>
    </mc:Choice>
  </mc:AlternateContent>
  <xr:revisionPtr revIDLastSave="0" documentId="13_ncr:1_{F9DAEAAF-AAC0-194F-BC76-B86681C374C6}" xr6:coauthVersionLast="47" xr6:coauthVersionMax="47" xr10:uidLastSave="{00000000-0000-0000-0000-000000000000}"/>
  <bookViews>
    <workbookView xWindow="2600" yWindow="500" windowWidth="27640" windowHeight="16280" activeTab="1" xr2:uid="{9A328A6B-4C1E-8F4C-8E43-5E3B631BA5C8}"/>
  </bookViews>
  <sheets>
    <sheet name="raw" sheetId="1" r:id="rId1"/>
    <sheet name="cle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E5" i="1" s="1"/>
  <c r="D7" i="1"/>
  <c r="D9" i="1"/>
  <c r="E8" i="1" s="1"/>
  <c r="D10" i="1"/>
  <c r="D12" i="1"/>
  <c r="E11" i="1" s="1"/>
  <c r="D13" i="1"/>
  <c r="E2" i="1"/>
  <c r="D4" i="1"/>
  <c r="D3" i="1"/>
</calcChain>
</file>

<file path=xl/sharedStrings.xml><?xml version="1.0" encoding="utf-8"?>
<sst xmlns="http://schemas.openxmlformats.org/spreadsheetml/2006/main" count="43" uniqueCount="8">
  <si>
    <t>x</t>
  </si>
  <si>
    <t>y</t>
  </si>
  <si>
    <t>source</t>
  </si>
  <si>
    <t>figure 3 right</t>
  </si>
  <si>
    <t>type</t>
  </si>
  <si>
    <t>npp</t>
  </si>
  <si>
    <t>raw error</t>
  </si>
  <si>
    <t>avg_error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</si>
</sst>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1985B-AB47-5442-A886-4FB11873738E}">
  <dimension ref="A1:F13"/>
  <sheetViews>
    <sheetView workbookViewId="0">
      <selection sqref="A1:XFD1048576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4</v>
      </c>
    </row>
    <row r="2" spans="1:6" x14ac:dyDescent="0.2">
      <c r="A2" s="1">
        <v>14.959839357429701</v>
      </c>
      <c r="B2">
        <v>2.0065905575284799</v>
      </c>
      <c r="C2" t="s">
        <v>3</v>
      </c>
      <c r="E2">
        <f>AVERAGE(D3:D4)</f>
        <v>0.39602169981916502</v>
      </c>
      <c r="F2" t="s">
        <v>5</v>
      </c>
    </row>
    <row r="3" spans="1:6" x14ac:dyDescent="0.2">
      <c r="A3" s="1">
        <v>15</v>
      </c>
      <c r="B3">
        <v>2.39719819603912</v>
      </c>
      <c r="C3" t="s">
        <v>3</v>
      </c>
      <c r="D3">
        <f>ABS(B2-B3)</f>
        <v>0.39060763851064007</v>
      </c>
      <c r="F3" t="s">
        <v>5</v>
      </c>
    </row>
    <row r="4" spans="1:6" x14ac:dyDescent="0.2">
      <c r="A4" s="1">
        <v>15</v>
      </c>
      <c r="B4">
        <v>1.60515479640079</v>
      </c>
      <c r="C4" t="s">
        <v>3</v>
      </c>
      <c r="D4">
        <f>ABS(B2-B4)</f>
        <v>0.40143576112768997</v>
      </c>
      <c r="F4" t="s">
        <v>5</v>
      </c>
    </row>
    <row r="5" spans="1:6" x14ac:dyDescent="0.2">
      <c r="A5" s="1">
        <v>25</v>
      </c>
      <c r="B5">
        <v>1.7055164600535899</v>
      </c>
      <c r="C5" t="s">
        <v>3</v>
      </c>
      <c r="E5">
        <f t="shared" ref="E5" si="0">AVERAGE(D6:D7)</f>
        <v>0.25226039783001997</v>
      </c>
      <c r="F5" t="s">
        <v>5</v>
      </c>
    </row>
    <row r="6" spans="1:6" x14ac:dyDescent="0.2">
      <c r="A6" s="1">
        <v>25</v>
      </c>
      <c r="B6">
        <v>1.96048933527963</v>
      </c>
      <c r="C6" t="s">
        <v>3</v>
      </c>
      <c r="D6">
        <f t="shared" ref="D6:D13" si="1">ABS(B5-B6)</f>
        <v>0.25497287522604006</v>
      </c>
      <c r="F6" t="s">
        <v>5</v>
      </c>
    </row>
    <row r="7" spans="1:6" x14ac:dyDescent="0.2">
      <c r="A7" s="1">
        <v>25</v>
      </c>
      <c r="B7">
        <v>1.4559685396195901</v>
      </c>
      <c r="C7" t="s">
        <v>3</v>
      </c>
      <c r="D7">
        <f t="shared" ref="D7" si="2">ABS(B5-B7)</f>
        <v>0.24954792043399987</v>
      </c>
      <c r="F7" t="s">
        <v>5</v>
      </c>
    </row>
    <row r="8" spans="1:6" x14ac:dyDescent="0.2">
      <c r="A8" s="1">
        <v>31.9678714859437</v>
      </c>
      <c r="B8">
        <v>1.4090339658816</v>
      </c>
      <c r="C8" t="s">
        <v>3</v>
      </c>
      <c r="E8">
        <f t="shared" ref="E8" si="3">AVERAGE(D9:D10)</f>
        <v>0.16274864376130005</v>
      </c>
      <c r="F8" t="s">
        <v>5</v>
      </c>
    </row>
    <row r="9" spans="1:6" x14ac:dyDescent="0.2">
      <c r="A9" s="1">
        <v>31.9879518072289</v>
      </c>
      <c r="B9">
        <v>1.56636310159262</v>
      </c>
      <c r="C9" t="s">
        <v>3</v>
      </c>
      <c r="D9">
        <f t="shared" ref="D9:D13" si="4">ABS(B8-B9)</f>
        <v>0.15732913571102003</v>
      </c>
      <c r="F9" t="s">
        <v>5</v>
      </c>
    </row>
    <row r="10" spans="1:6" x14ac:dyDescent="0.2">
      <c r="A10" s="1">
        <v>31.9879518072289</v>
      </c>
      <c r="B10">
        <v>1.2408658140700199</v>
      </c>
      <c r="C10" t="s">
        <v>3</v>
      </c>
      <c r="D10">
        <f t="shared" ref="D10" si="5">ABS(B8-B10)</f>
        <v>0.16816815181158007</v>
      </c>
      <c r="F10" t="s">
        <v>5</v>
      </c>
    </row>
    <row r="11" spans="1:6" x14ac:dyDescent="0.2">
      <c r="A11" s="1">
        <v>35</v>
      </c>
      <c r="B11">
        <v>-0.29900433560644002</v>
      </c>
      <c r="C11" t="s">
        <v>3</v>
      </c>
      <c r="E11">
        <f t="shared" ref="E11" si="6">AVERAGE(D12:D13)</f>
        <v>0.151896010806336</v>
      </c>
      <c r="F11" t="s">
        <v>5</v>
      </c>
    </row>
    <row r="12" spans="1:6" x14ac:dyDescent="0.2">
      <c r="A12" s="1">
        <v>35.0200803212851</v>
      </c>
      <c r="B12">
        <v>-0.14167519989542199</v>
      </c>
      <c r="C12" t="s">
        <v>3</v>
      </c>
      <c r="D12">
        <f t="shared" ref="D12:D13" si="7">ABS(B11-B12)</f>
        <v>0.15732913571101803</v>
      </c>
      <c r="F12" t="s">
        <v>5</v>
      </c>
    </row>
    <row r="13" spans="1:6" x14ac:dyDescent="0.2">
      <c r="A13" s="1">
        <v>35.0401606425702</v>
      </c>
      <c r="B13">
        <v>-0.44546722150809398</v>
      </c>
      <c r="C13" t="s">
        <v>3</v>
      </c>
      <c r="D13">
        <f t="shared" ref="D13" si="8">ABS(B11-B13)</f>
        <v>0.14646288590165396</v>
      </c>
      <c r="F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3A80-A9FC-CE40-B9CD-B0826CF6210A}">
  <dimension ref="A1:E5"/>
  <sheetViews>
    <sheetView tabSelected="1" workbookViewId="0">
      <selection activeCell="D2" sqref="D2:D5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7</v>
      </c>
      <c r="E1" t="s">
        <v>4</v>
      </c>
    </row>
    <row r="2" spans="1:5" x14ac:dyDescent="0.2">
      <c r="A2" s="1">
        <v>14.959839357429701</v>
      </c>
      <c r="B2">
        <v>2.0065905575284799</v>
      </c>
      <c r="C2" t="s">
        <v>3</v>
      </c>
      <c r="D2">
        <v>0.39602169981916502</v>
      </c>
      <c r="E2" t="s">
        <v>5</v>
      </c>
    </row>
    <row r="3" spans="1:5" x14ac:dyDescent="0.2">
      <c r="A3" s="1">
        <v>25</v>
      </c>
      <c r="B3">
        <v>1.7055164600535899</v>
      </c>
      <c r="C3" t="s">
        <v>3</v>
      </c>
      <c r="D3">
        <v>0.25226039783001997</v>
      </c>
      <c r="E3" t="s">
        <v>5</v>
      </c>
    </row>
    <row r="4" spans="1:5" x14ac:dyDescent="0.2">
      <c r="A4" s="1">
        <v>31.9678714859437</v>
      </c>
      <c r="B4">
        <v>1.4090339658816</v>
      </c>
      <c r="C4" t="s">
        <v>3</v>
      </c>
      <c r="D4">
        <v>0.16274864376130005</v>
      </c>
      <c r="E4" t="s">
        <v>5</v>
      </c>
    </row>
    <row r="5" spans="1:5" x14ac:dyDescent="0.2">
      <c r="A5" s="1">
        <v>35</v>
      </c>
      <c r="B5">
        <v>-0.29900433560644002</v>
      </c>
      <c r="C5" t="s">
        <v>3</v>
      </c>
      <c r="D5">
        <v>0.151896010806336</v>
      </c>
      <c r="E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Slein, Margaret</dc:creator>
  <cp:lastModifiedBy>Slein, Margaret</cp:lastModifiedBy>
  <dcterms:created xsi:type="dcterms:W3CDTF">2026-02-26T15:27:36Z</dcterms:created>
  <dcterms:modified xsi:type="dcterms:W3CDTF">2026-02-27T00:18:08Z</dcterms:modified>
</cp:coreProperties>
</file>