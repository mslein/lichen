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lein/lichen/extraction/single cell/raw extraction/pinko2020/"/>
    </mc:Choice>
  </mc:AlternateContent>
  <xr:revisionPtr revIDLastSave="0" documentId="13_ncr:1_{CBA645F0-2F60-E240-AB39-30DB958104CE}" xr6:coauthVersionLast="47" xr6:coauthVersionMax="47" xr10:uidLastSave="{00000000-0000-0000-0000-000000000000}"/>
  <bookViews>
    <workbookView xWindow="3020" yWindow="520" windowWidth="27640" windowHeight="16280" activeTab="1" xr2:uid="{1C0D84DB-27E9-EA40-880B-A0A0676A921C}"/>
  </bookViews>
  <sheets>
    <sheet name="raw" sheetId="1" r:id="rId1"/>
    <sheet name="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5" i="1" s="1"/>
  <c r="D7" i="1"/>
  <c r="D9" i="1"/>
  <c r="D10" i="1"/>
  <c r="E8" i="1" s="1"/>
  <c r="E11" i="1"/>
  <c r="D12" i="1"/>
  <c r="D13" i="1"/>
  <c r="D15" i="1"/>
  <c r="E14" i="1" s="1"/>
  <c r="D16" i="1"/>
  <c r="D18" i="1"/>
  <c r="E17" i="1" s="1"/>
  <c r="D19" i="1"/>
  <c r="E20" i="1"/>
  <c r="D21" i="1"/>
  <c r="D22" i="1"/>
  <c r="D24" i="1"/>
  <c r="E23" i="1" s="1"/>
  <c r="D25" i="1"/>
  <c r="E2" i="1"/>
  <c r="D4" i="1"/>
  <c r="D3" i="1"/>
</calcChain>
</file>

<file path=xl/sharedStrings.xml><?xml version="1.0" encoding="utf-8"?>
<sst xmlns="http://schemas.openxmlformats.org/spreadsheetml/2006/main" count="143" uniqueCount="14">
  <si>
    <t>x</t>
  </si>
  <si>
    <t>y</t>
  </si>
  <si>
    <t>source</t>
  </si>
  <si>
    <t>figure 3b</t>
  </si>
  <si>
    <t>type</t>
  </si>
  <si>
    <t>raw</t>
  </si>
  <si>
    <t>error</t>
  </si>
  <si>
    <t>time</t>
  </si>
  <si>
    <t>week 1</t>
  </si>
  <si>
    <t>figure 4b</t>
  </si>
  <si>
    <t>response type</t>
  </si>
  <si>
    <t>npp</t>
  </si>
  <si>
    <t>raw_error</t>
  </si>
  <si>
    <t>avg_error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</si>
</sst>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D230-327D-2747-BB6E-49F6B8FE5BFD}">
  <dimension ref="A1:H25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4</v>
      </c>
      <c r="D1" t="s">
        <v>12</v>
      </c>
      <c r="E1" t="s">
        <v>13</v>
      </c>
      <c r="F1" t="s">
        <v>2</v>
      </c>
      <c r="G1" t="s">
        <v>7</v>
      </c>
      <c r="H1" t="s">
        <v>10</v>
      </c>
    </row>
    <row r="2" spans="1:8" x14ac:dyDescent="0.2">
      <c r="A2" s="1">
        <v>25</v>
      </c>
      <c r="B2">
        <v>26.710491578224801</v>
      </c>
      <c r="C2" t="s">
        <v>5</v>
      </c>
      <c r="E2">
        <f>AVERAGE(D3:D4)</f>
        <v>3.9252336448597998</v>
      </c>
      <c r="F2" t="s">
        <v>3</v>
      </c>
      <c r="G2" t="s">
        <v>8</v>
      </c>
      <c r="H2" t="s">
        <v>11</v>
      </c>
    </row>
    <row r="3" spans="1:8" x14ac:dyDescent="0.2">
      <c r="A3" s="1">
        <v>25</v>
      </c>
      <c r="B3">
        <v>30.448809335234099</v>
      </c>
      <c r="C3" t="s">
        <v>6</v>
      </c>
      <c r="D3">
        <f>ABS(B2-B3)</f>
        <v>3.7383177570092982</v>
      </c>
      <c r="F3" t="s">
        <v>3</v>
      </c>
      <c r="G3" t="s">
        <v>8</v>
      </c>
      <c r="H3" t="s">
        <v>11</v>
      </c>
    </row>
    <row r="4" spans="1:8" x14ac:dyDescent="0.2">
      <c r="A4" s="1">
        <v>25</v>
      </c>
      <c r="B4">
        <v>22.598342045514499</v>
      </c>
      <c r="C4" t="s">
        <v>6</v>
      </c>
      <c r="D4">
        <f>ABS(B2-B4)</f>
        <v>4.1121495327103013</v>
      </c>
      <c r="F4" t="s">
        <v>3</v>
      </c>
      <c r="G4" t="s">
        <v>8</v>
      </c>
      <c r="H4" t="s">
        <v>11</v>
      </c>
    </row>
    <row r="5" spans="1:8" x14ac:dyDescent="0.2">
      <c r="A5" s="1">
        <v>30</v>
      </c>
      <c r="B5">
        <v>12.815882570357401</v>
      </c>
      <c r="C5" t="s">
        <v>5</v>
      </c>
      <c r="E5">
        <f t="shared" ref="E5" si="0">AVERAGE(D6:D7)</f>
        <v>1.4018691588785002</v>
      </c>
      <c r="F5" t="s">
        <v>3</v>
      </c>
      <c r="G5" t="s">
        <v>8</v>
      </c>
      <c r="H5" t="s">
        <v>11</v>
      </c>
    </row>
    <row r="6" spans="1:8" x14ac:dyDescent="0.2">
      <c r="A6" s="1">
        <v>30</v>
      </c>
      <c r="B6">
        <v>14.1242937853107</v>
      </c>
      <c r="C6" t="s">
        <v>6</v>
      </c>
      <c r="D6">
        <f t="shared" ref="D6:D25" si="1">ABS(B5-B6)</f>
        <v>1.3084112149532992</v>
      </c>
      <c r="F6" t="s">
        <v>3</v>
      </c>
      <c r="G6" t="s">
        <v>8</v>
      </c>
      <c r="H6" t="s">
        <v>11</v>
      </c>
    </row>
    <row r="7" spans="1:8" x14ac:dyDescent="0.2">
      <c r="A7" s="1">
        <v>30</v>
      </c>
      <c r="B7">
        <v>11.320555467553699</v>
      </c>
      <c r="C7" t="s">
        <v>6</v>
      </c>
      <c r="D7">
        <f t="shared" ref="D7" si="2">ABS(B5-B7)</f>
        <v>1.4953271028037012</v>
      </c>
      <c r="F7" t="s">
        <v>3</v>
      </c>
      <c r="G7" t="s">
        <v>8</v>
      </c>
      <c r="H7" t="s">
        <v>11</v>
      </c>
    </row>
    <row r="8" spans="1:8" x14ac:dyDescent="0.2">
      <c r="A8" s="1">
        <v>32</v>
      </c>
      <c r="B8">
        <v>17.4264744706689</v>
      </c>
      <c r="C8" t="s">
        <v>5</v>
      </c>
      <c r="E8">
        <f t="shared" ref="E8" si="3">AVERAGE(D9:D10)</f>
        <v>2.0560747663551497</v>
      </c>
      <c r="F8" t="s">
        <v>3</v>
      </c>
      <c r="G8" t="s">
        <v>8</v>
      </c>
      <c r="H8" t="s">
        <v>11</v>
      </c>
    </row>
    <row r="9" spans="1:8" x14ac:dyDescent="0.2">
      <c r="A9" s="1">
        <v>32</v>
      </c>
      <c r="B9">
        <v>19.482549237024099</v>
      </c>
      <c r="C9" t="s">
        <v>6</v>
      </c>
      <c r="D9">
        <f t="shared" ref="D9:D25" si="4">ABS(B8-B9)</f>
        <v>2.0560747663551986</v>
      </c>
      <c r="F9" t="s">
        <v>3</v>
      </c>
      <c r="G9" t="s">
        <v>8</v>
      </c>
      <c r="H9" t="s">
        <v>11</v>
      </c>
    </row>
    <row r="10" spans="1:8" x14ac:dyDescent="0.2">
      <c r="A10" s="1">
        <v>32</v>
      </c>
      <c r="B10">
        <v>15.370399704313799</v>
      </c>
      <c r="C10" t="s">
        <v>6</v>
      </c>
      <c r="D10">
        <f t="shared" ref="D10" si="5">ABS(B8-B10)</f>
        <v>2.0560747663551009</v>
      </c>
      <c r="F10" t="s">
        <v>3</v>
      </c>
      <c r="G10" t="s">
        <v>8</v>
      </c>
      <c r="H10" t="s">
        <v>11</v>
      </c>
    </row>
    <row r="11" spans="1:8" x14ac:dyDescent="0.2">
      <c r="A11" s="1">
        <v>35</v>
      </c>
      <c r="B11">
        <v>-4.1316859390675198</v>
      </c>
      <c r="C11" t="s">
        <v>5</v>
      </c>
      <c r="E11">
        <f t="shared" ref="E11" si="6">AVERAGE(D12:D13)</f>
        <v>2.4299065420560853</v>
      </c>
      <c r="F11" t="s">
        <v>3</v>
      </c>
      <c r="G11" t="s">
        <v>8</v>
      </c>
      <c r="H11" t="s">
        <v>11</v>
      </c>
    </row>
    <row r="12" spans="1:8" x14ac:dyDescent="0.2">
      <c r="A12" s="1">
        <v>35</v>
      </c>
      <c r="B12">
        <v>-1.7017793970114401</v>
      </c>
      <c r="C12" t="s">
        <v>6</v>
      </c>
      <c r="D12">
        <f t="shared" ref="D12:D25" si="7">ABS(B11-B12)</f>
        <v>2.4299065420560799</v>
      </c>
      <c r="F12" t="s">
        <v>3</v>
      </c>
      <c r="G12" t="s">
        <v>8</v>
      </c>
      <c r="H12" t="s">
        <v>11</v>
      </c>
    </row>
    <row r="13" spans="1:8" x14ac:dyDescent="0.2">
      <c r="A13" s="1">
        <v>35</v>
      </c>
      <c r="B13">
        <v>-6.5615924811236104</v>
      </c>
      <c r="C13" t="s">
        <v>6</v>
      </c>
      <c r="D13">
        <f t="shared" ref="D13" si="8">ABS(B11-B13)</f>
        <v>2.4299065420560906</v>
      </c>
      <c r="F13" t="s">
        <v>3</v>
      </c>
      <c r="G13" t="s">
        <v>8</v>
      </c>
      <c r="H13" t="s">
        <v>11</v>
      </c>
    </row>
    <row r="14" spans="1:8" x14ac:dyDescent="0.2">
      <c r="A14" s="1">
        <v>25</v>
      </c>
      <c r="B14">
        <v>33.653846153846096</v>
      </c>
      <c r="C14" t="s">
        <v>5</v>
      </c>
      <c r="E14">
        <f t="shared" ref="E14" si="9">AVERAGE(D15:D16)</f>
        <v>7.6923076923076987</v>
      </c>
      <c r="F14" t="s">
        <v>9</v>
      </c>
      <c r="G14" t="s">
        <v>8</v>
      </c>
      <c r="H14" t="s">
        <v>11</v>
      </c>
    </row>
    <row r="15" spans="1:8" x14ac:dyDescent="0.2">
      <c r="A15" s="1">
        <v>25</v>
      </c>
      <c r="B15">
        <v>41.538461538461497</v>
      </c>
      <c r="C15" t="s">
        <v>6</v>
      </c>
      <c r="D15">
        <f t="shared" ref="D15:D25" si="10">ABS(B14-B15)</f>
        <v>7.884615384615401</v>
      </c>
      <c r="F15" t="s">
        <v>9</v>
      </c>
      <c r="G15" t="s">
        <v>8</v>
      </c>
      <c r="H15" t="s">
        <v>11</v>
      </c>
    </row>
    <row r="16" spans="1:8" x14ac:dyDescent="0.2">
      <c r="A16" s="1">
        <v>25</v>
      </c>
      <c r="B16">
        <v>26.1538461538461</v>
      </c>
      <c r="C16" t="s">
        <v>6</v>
      </c>
      <c r="D16">
        <f t="shared" ref="D16" si="11">ABS(B14-B16)</f>
        <v>7.4999999999999964</v>
      </c>
      <c r="F16" t="s">
        <v>9</v>
      </c>
      <c r="G16" t="s">
        <v>8</v>
      </c>
      <c r="H16" t="s">
        <v>11</v>
      </c>
    </row>
    <row r="17" spans="1:8" x14ac:dyDescent="0.2">
      <c r="A17" s="1">
        <v>30</v>
      </c>
      <c r="B17">
        <v>23.076923076922998</v>
      </c>
      <c r="C17" t="s">
        <v>5</v>
      </c>
      <c r="E17">
        <f t="shared" ref="E17" si="12">AVERAGE(D18:D19)</f>
        <v>9.8076923076923492</v>
      </c>
      <c r="F17" t="s">
        <v>9</v>
      </c>
      <c r="G17" t="s">
        <v>8</v>
      </c>
      <c r="H17" t="s">
        <v>11</v>
      </c>
    </row>
    <row r="18" spans="1:8" x14ac:dyDescent="0.2">
      <c r="A18" s="1">
        <v>30</v>
      </c>
      <c r="B18">
        <v>32.692307692307701</v>
      </c>
      <c r="C18" t="s">
        <v>6</v>
      </c>
      <c r="D18">
        <f t="shared" ref="D18:D25" si="13">ABS(B17-B18)</f>
        <v>9.615384615384702</v>
      </c>
      <c r="F18" t="s">
        <v>9</v>
      </c>
      <c r="G18" t="s">
        <v>8</v>
      </c>
      <c r="H18" t="s">
        <v>11</v>
      </c>
    </row>
    <row r="19" spans="1:8" x14ac:dyDescent="0.2">
      <c r="A19" s="1">
        <v>30</v>
      </c>
      <c r="B19">
        <v>13.076923076923</v>
      </c>
      <c r="C19" t="s">
        <v>6</v>
      </c>
      <c r="D19">
        <f t="shared" ref="D19" si="14">ABS(B17-B19)</f>
        <v>9.9999999999999982</v>
      </c>
      <c r="F19" t="s">
        <v>9</v>
      </c>
      <c r="G19" t="s">
        <v>8</v>
      </c>
      <c r="H19" t="s">
        <v>11</v>
      </c>
    </row>
    <row r="20" spans="1:8" x14ac:dyDescent="0.2">
      <c r="A20" s="1">
        <v>32</v>
      </c>
      <c r="B20">
        <v>25</v>
      </c>
      <c r="C20" t="s">
        <v>5</v>
      </c>
      <c r="E20">
        <f t="shared" ref="E20" si="15">AVERAGE(D21:D22)</f>
        <v>1.1538461538461497</v>
      </c>
      <c r="F20" t="s">
        <v>9</v>
      </c>
      <c r="G20" t="s">
        <v>8</v>
      </c>
      <c r="H20" t="s">
        <v>11</v>
      </c>
    </row>
    <row r="21" spans="1:8" x14ac:dyDescent="0.2">
      <c r="A21" s="1">
        <v>32</v>
      </c>
      <c r="B21">
        <v>26.1538461538461</v>
      </c>
      <c r="C21" t="s">
        <v>6</v>
      </c>
      <c r="D21">
        <f t="shared" ref="D21:D25" si="16">ABS(B20-B21)</f>
        <v>1.1538461538461</v>
      </c>
      <c r="F21" t="s">
        <v>9</v>
      </c>
      <c r="G21" t="s">
        <v>8</v>
      </c>
      <c r="H21" t="s">
        <v>11</v>
      </c>
    </row>
    <row r="22" spans="1:8" x14ac:dyDescent="0.2">
      <c r="A22" s="1">
        <v>32</v>
      </c>
      <c r="B22">
        <v>23.846153846153801</v>
      </c>
      <c r="C22" t="s">
        <v>6</v>
      </c>
      <c r="D22">
        <f t="shared" ref="D22" si="17">ABS(B20-B22)</f>
        <v>1.1538461538461995</v>
      </c>
      <c r="F22" t="s">
        <v>9</v>
      </c>
      <c r="G22" t="s">
        <v>8</v>
      </c>
      <c r="H22" t="s">
        <v>11</v>
      </c>
    </row>
    <row r="23" spans="1:8" x14ac:dyDescent="0.2">
      <c r="A23" s="1">
        <v>35</v>
      </c>
      <c r="B23">
        <v>-15.192307692307599</v>
      </c>
      <c r="C23" t="s">
        <v>5</v>
      </c>
      <c r="E23">
        <f t="shared" ref="E23" si="18">AVERAGE(D24:D25)</f>
        <v>4.134615384615401</v>
      </c>
      <c r="F23" t="s">
        <v>9</v>
      </c>
      <c r="G23" t="s">
        <v>8</v>
      </c>
      <c r="H23" t="s">
        <v>11</v>
      </c>
    </row>
    <row r="24" spans="1:8" x14ac:dyDescent="0.2">
      <c r="A24" s="1">
        <v>35</v>
      </c>
      <c r="B24">
        <v>-10.9615384615384</v>
      </c>
      <c r="C24" t="s">
        <v>6</v>
      </c>
      <c r="D24">
        <f t="shared" ref="D24:D25" si="19">ABS(B23-B24)</f>
        <v>4.2307692307691998</v>
      </c>
      <c r="F24" t="s">
        <v>9</v>
      </c>
      <c r="G24" t="s">
        <v>8</v>
      </c>
      <c r="H24" t="s">
        <v>11</v>
      </c>
    </row>
    <row r="25" spans="1:8" x14ac:dyDescent="0.2">
      <c r="A25" s="1">
        <v>35</v>
      </c>
      <c r="B25">
        <v>-19.230769230769202</v>
      </c>
      <c r="C25" t="s">
        <v>6</v>
      </c>
      <c r="D25">
        <f t="shared" ref="D25" si="20">ABS(B23-B25)</f>
        <v>4.0384615384616023</v>
      </c>
      <c r="F25" t="s">
        <v>9</v>
      </c>
      <c r="G25" t="s">
        <v>8</v>
      </c>
      <c r="H2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CB25-722C-A64D-913B-5049FE96703C}">
  <dimension ref="A1:G9"/>
  <sheetViews>
    <sheetView tabSelected="1" workbookViewId="0">
      <selection activeCell="D2" sqref="D2:D9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4</v>
      </c>
      <c r="D1" s="2" t="s">
        <v>13</v>
      </c>
      <c r="E1" s="2" t="s">
        <v>2</v>
      </c>
      <c r="F1" s="2" t="s">
        <v>7</v>
      </c>
      <c r="G1" s="2" t="s">
        <v>10</v>
      </c>
    </row>
    <row r="2" spans="1:7" x14ac:dyDescent="0.2">
      <c r="A2" s="3">
        <v>25</v>
      </c>
      <c r="B2" s="2">
        <v>26.710491600000001</v>
      </c>
      <c r="C2" s="2" t="s">
        <v>5</v>
      </c>
      <c r="D2" s="2">
        <v>3.9252336400000001</v>
      </c>
      <c r="E2" s="2" t="s">
        <v>3</v>
      </c>
      <c r="F2" s="2" t="s">
        <v>8</v>
      </c>
      <c r="G2" s="2" t="s">
        <v>11</v>
      </c>
    </row>
    <row r="3" spans="1:7" x14ac:dyDescent="0.2">
      <c r="A3" s="3">
        <v>30</v>
      </c>
      <c r="B3" s="2">
        <v>12.8158826</v>
      </c>
      <c r="C3" s="2" t="s">
        <v>5</v>
      </c>
      <c r="D3" s="2">
        <v>1.4018691599999999</v>
      </c>
      <c r="E3" s="2" t="s">
        <v>3</v>
      </c>
      <c r="F3" s="2" t="s">
        <v>8</v>
      </c>
      <c r="G3" s="2" t="s">
        <v>11</v>
      </c>
    </row>
    <row r="4" spans="1:7" x14ac:dyDescent="0.2">
      <c r="A4" s="3">
        <v>32</v>
      </c>
      <c r="B4" s="2">
        <v>17.426474500000001</v>
      </c>
      <c r="C4" s="2" t="s">
        <v>5</v>
      </c>
      <c r="D4" s="2">
        <v>2.0560747699999999</v>
      </c>
      <c r="E4" s="2" t="s">
        <v>3</v>
      </c>
      <c r="F4" s="2" t="s">
        <v>8</v>
      </c>
      <c r="G4" s="2" t="s">
        <v>11</v>
      </c>
    </row>
    <row r="5" spans="1:7" x14ac:dyDescent="0.2">
      <c r="A5" s="3">
        <v>35</v>
      </c>
      <c r="B5" s="2">
        <v>-4.1316858999999999</v>
      </c>
      <c r="C5" s="2" t="s">
        <v>5</v>
      </c>
      <c r="D5" s="2">
        <v>2.4299065400000002</v>
      </c>
      <c r="E5" s="2" t="s">
        <v>3</v>
      </c>
      <c r="F5" s="2" t="s">
        <v>8</v>
      </c>
      <c r="G5" s="2" t="s">
        <v>11</v>
      </c>
    </row>
    <row r="6" spans="1:7" x14ac:dyDescent="0.2">
      <c r="A6" s="3">
        <v>25</v>
      </c>
      <c r="B6" s="2">
        <v>33.653846199999997</v>
      </c>
      <c r="C6" s="2" t="s">
        <v>5</v>
      </c>
      <c r="D6" s="2">
        <v>7.6923076899999998</v>
      </c>
      <c r="E6" s="2" t="s">
        <v>9</v>
      </c>
      <c r="F6" s="2" t="s">
        <v>8</v>
      </c>
      <c r="G6" s="2" t="s">
        <v>11</v>
      </c>
    </row>
    <row r="7" spans="1:7" x14ac:dyDescent="0.2">
      <c r="A7" s="3">
        <v>30</v>
      </c>
      <c r="B7" s="2">
        <v>23.076923099999998</v>
      </c>
      <c r="C7" s="2" t="s">
        <v>5</v>
      </c>
      <c r="D7" s="2">
        <v>9.8076923100000002</v>
      </c>
      <c r="E7" s="2" t="s">
        <v>9</v>
      </c>
      <c r="F7" s="2" t="s">
        <v>8</v>
      </c>
      <c r="G7" s="2" t="s">
        <v>11</v>
      </c>
    </row>
    <row r="8" spans="1:7" x14ac:dyDescent="0.2">
      <c r="A8" s="3">
        <v>32</v>
      </c>
      <c r="B8" s="2">
        <v>25</v>
      </c>
      <c r="C8" s="2" t="s">
        <v>5</v>
      </c>
      <c r="D8" s="2">
        <v>1.1538461499999999</v>
      </c>
      <c r="E8" s="2" t="s">
        <v>9</v>
      </c>
      <c r="F8" s="2" t="s">
        <v>8</v>
      </c>
      <c r="G8" s="2" t="s">
        <v>11</v>
      </c>
    </row>
    <row r="9" spans="1:7" x14ac:dyDescent="0.2">
      <c r="A9" s="3">
        <v>35</v>
      </c>
      <c r="B9" s="2">
        <v>-15.192308000000001</v>
      </c>
      <c r="C9" s="2" t="s">
        <v>5</v>
      </c>
      <c r="D9" s="2">
        <v>4.1346153799999996</v>
      </c>
      <c r="E9" s="2" t="s">
        <v>9</v>
      </c>
      <c r="F9" s="2" t="s">
        <v>8</v>
      </c>
      <c r="G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Slein, Margaret</dc:creator>
  <cp:lastModifiedBy>Slein, Margaret</cp:lastModifiedBy>
  <dcterms:created xsi:type="dcterms:W3CDTF">2026-02-26T17:51:40Z</dcterms:created>
  <dcterms:modified xsi:type="dcterms:W3CDTF">2026-02-27T00:04:04Z</dcterms:modified>
</cp:coreProperties>
</file>